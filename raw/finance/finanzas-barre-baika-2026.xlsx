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038962264abe88/Documents/Dafne Personal/Barreika/"/>
    </mc:Choice>
  </mc:AlternateContent>
  <xr:revisionPtr revIDLastSave="877" documentId="8_{03BF4E2A-5781-4F07-954A-184824DF0631}" xr6:coauthVersionLast="47" xr6:coauthVersionMax="47" xr10:uidLastSave="{E27EBA99-3D79-4977-8438-4EEAD4800C46}"/>
  <bookViews>
    <workbookView xWindow="-28910" yWindow="-110" windowWidth="29020" windowHeight="15700" activeTab="5" xr2:uid="{F10221C3-53FC-4821-8E70-288E25681289}"/>
  </bookViews>
  <sheets>
    <sheet name="Febrero 2026" sheetId="1" r:id="rId1"/>
    <sheet name="Marzo 2026" sheetId="2" r:id="rId2"/>
    <sheet name="Abril 2026" sheetId="3" r:id="rId3"/>
    <sheet name="Mayo 2026" sheetId="4" r:id="rId4"/>
    <sheet name="Junio 2026" sheetId="5" r:id="rId5"/>
    <sheet name="Julio 2026" sheetId="6" r:id="rId6"/>
    <sheet name="Paquetes y precios actual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6" l="1"/>
  <c r="E7" i="5"/>
  <c r="E7" i="4"/>
  <c r="E8" i="3"/>
  <c r="E8" i="2"/>
  <c r="E8" i="1"/>
  <c r="E7" i="2"/>
  <c r="E5" i="5"/>
  <c r="E5" i="4"/>
  <c r="E4" i="4"/>
  <c r="E9" i="3"/>
  <c r="E7" i="3"/>
  <c r="E6" i="3"/>
  <c r="E6" i="2"/>
  <c r="E5" i="2"/>
  <c r="E9" i="1"/>
  <c r="E7" i="1"/>
  <c r="E6" i="1"/>
  <c r="E4" i="6"/>
  <c r="D56" i="6"/>
  <c r="B45" i="6"/>
  <c r="A33" i="6"/>
  <c r="H12" i="6"/>
  <c r="E7" i="6"/>
  <c r="B7" i="6"/>
  <c r="E5" i="6"/>
  <c r="E4" i="5"/>
  <c r="D48" i="5"/>
  <c r="B46" i="5"/>
  <c r="A29" i="5"/>
  <c r="H12" i="5"/>
  <c r="B7" i="5"/>
  <c r="E8" i="4"/>
  <c r="H9" i="4" s="1"/>
  <c r="H11" i="4" s="1"/>
  <c r="B7" i="4"/>
  <c r="B28" i="4"/>
  <c r="D49" i="4"/>
  <c r="A32" i="4"/>
  <c r="B8" i="2"/>
  <c r="E60" i="2"/>
  <c r="C41" i="2"/>
  <c r="A34" i="2"/>
  <c r="E5" i="3"/>
  <c r="B8" i="3"/>
  <c r="E48" i="3"/>
  <c r="C26" i="3"/>
  <c r="A35" i="3"/>
  <c r="H12" i="4"/>
  <c r="H13" i="3"/>
  <c r="B10" i="1"/>
  <c r="H13" i="2"/>
  <c r="H11" i="1"/>
  <c r="E9" i="4" l="1"/>
  <c r="I3" i="4" s="1"/>
  <c r="E10" i="3"/>
  <c r="I2" i="3" s="1"/>
  <c r="H10" i="1"/>
  <c r="H12" i="1" s="1"/>
  <c r="H14" i="1" s="1"/>
  <c r="E10" i="1"/>
  <c r="H3" i="1" s="1"/>
  <c r="E9" i="2"/>
  <c r="H10" i="2" s="1"/>
  <c r="H12" i="2" s="1"/>
  <c r="H14" i="2" s="1"/>
  <c r="E10" i="2"/>
  <c r="H3" i="2" s="1"/>
  <c r="E9" i="6"/>
  <c r="I3" i="6" s="1"/>
  <c r="E8" i="6"/>
  <c r="H9" i="6" s="1"/>
  <c r="H11" i="6" s="1"/>
  <c r="H13" i="6" s="1"/>
  <c r="E8" i="5"/>
  <c r="H9" i="5" s="1"/>
  <c r="H11" i="5" s="1"/>
  <c r="H13" i="5" s="1"/>
  <c r="E9" i="5"/>
  <c r="I3" i="5" s="1"/>
  <c r="H13" i="4"/>
  <c r="H10" i="3"/>
  <c r="H12" i="3" s="1"/>
  <c r="H14" i="3" s="1"/>
</calcChain>
</file>

<file path=xl/sharedStrings.xml><?xml version="1.0" encoding="utf-8"?>
<sst xmlns="http://schemas.openxmlformats.org/spreadsheetml/2006/main" count="177" uniqueCount="59">
  <si>
    <t xml:space="preserve">INGRESOS </t>
  </si>
  <si>
    <t>FITPASS</t>
  </si>
  <si>
    <t>WELLHUB</t>
  </si>
  <si>
    <t>TOTALPASS</t>
  </si>
  <si>
    <t xml:space="preserve">STRIPE </t>
  </si>
  <si>
    <t>TARJETA DE CREDITO</t>
  </si>
  <si>
    <t>TRANSFER</t>
  </si>
  <si>
    <t>EFECTIVO</t>
  </si>
  <si>
    <t>EGRESOS</t>
  </si>
  <si>
    <t>NOMINAS</t>
  </si>
  <si>
    <t>MKT</t>
  </si>
  <si>
    <t>GASTOS VARIABLES</t>
  </si>
  <si>
    <t>AGUA Y MTTO</t>
  </si>
  <si>
    <t>LUZ</t>
  </si>
  <si>
    <t>RENTA</t>
  </si>
  <si>
    <t>SUBTOTAL</t>
  </si>
  <si>
    <t>TOTAL</t>
  </si>
  <si>
    <t>GASTOS</t>
  </si>
  <si>
    <t>WELLHUB FER</t>
  </si>
  <si>
    <t>APPS DAF</t>
  </si>
  <si>
    <t>STRIPE</t>
  </si>
  <si>
    <t xml:space="preserve">MOSTRADOR </t>
  </si>
  <si>
    <t>FRONT DESK</t>
  </si>
  <si>
    <t>1500 mant barras</t>
  </si>
  <si>
    <t>UTILIDAD</t>
  </si>
  <si>
    <t>MOSTRADOR</t>
  </si>
  <si>
    <t>1750 MANT AIRES</t>
  </si>
  <si>
    <t>INGRESOS</t>
  </si>
  <si>
    <t>390 canva</t>
  </si>
  <si>
    <t>892 BOLSAS EVENTO</t>
  </si>
  <si>
    <t>336.40 etiquetas</t>
  </si>
  <si>
    <t>871.25 ucan</t>
  </si>
  <si>
    <t>118 mantel</t>
  </si>
  <si>
    <t>3250 mantenimiento osva</t>
  </si>
  <si>
    <t>1125 globos sesion de fotos</t>
  </si>
  <si>
    <t>174 tiktok</t>
  </si>
  <si>
    <t>ASISTENCIAS</t>
  </si>
  <si>
    <t xml:space="preserve">ASISTENCIAS </t>
  </si>
  <si>
    <t>NUMERO DE CLASES IMPARTIDAS</t>
  </si>
  <si>
    <t>NOMBRE</t>
  </si>
  <si>
    <t>PRECIO</t>
  </si>
  <si>
    <t>ACCESOS</t>
  </si>
  <si>
    <t>1 CLASE</t>
  </si>
  <si>
    <t>FIRST CLASS BARRE CLASE PRUEBA</t>
  </si>
  <si>
    <t xml:space="preserve">PULSE SET </t>
  </si>
  <si>
    <t>VIGENCIA / DIAS</t>
  </si>
  <si>
    <t>EARLY BIRD (SOLO CLASES AM)</t>
  </si>
  <si>
    <t>10 CLASES BARRE</t>
  </si>
  <si>
    <t xml:space="preserve">16 CLASES </t>
  </si>
  <si>
    <t>20 CLASES</t>
  </si>
  <si>
    <t>24 CLASES</t>
  </si>
  <si>
    <t>LIMITLESS (MEMBRESIA MENSUAL)</t>
  </si>
  <si>
    <t>ILIMITADOS</t>
  </si>
  <si>
    <t xml:space="preserve">PAGINA WEB </t>
  </si>
  <si>
    <t>Diego</t>
  </si>
  <si>
    <t>mkt</t>
  </si>
  <si>
    <t>Identidad marca</t>
  </si>
  <si>
    <t>Diseño local</t>
  </si>
  <si>
    <t>Sueldos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</si>
</sst>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44" formatCode="_-&quot;$&quot;* #,##0.00_-;\-&quot;$&quot;* #,##0.00_-;_-&quot;$&quot;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/>
    <xf numFmtId="44" fontId="2" fillId="0" borderId="0" xfId="0" applyNumberFormat="1" applyFont="1"/>
    <xf numFmtId="0" fontId="0" fillId="0" borderId="0" xfId="0" applyAlignment="1">
      <alignment horizontal="center"/>
    </xf>
    <xf numFmtId="44" fontId="2" fillId="0" borderId="0" xfId="1" applyFont="1"/>
    <xf numFmtId="0" fontId="2" fillId="3" borderId="0" xfId="0" applyFont="1" applyFill="1"/>
    <xf numFmtId="0" fontId="2" fillId="3" borderId="0" xfId="1" applyNumberFormat="1" applyFont="1" applyFill="1"/>
    <xf numFmtId="0" fontId="2" fillId="4" borderId="0" xfId="0" applyFont="1" applyFill="1"/>
    <xf numFmtId="0" fontId="2" fillId="4" borderId="0" xfId="1" applyNumberFormat="1" applyFont="1" applyFill="1"/>
    <xf numFmtId="6" fontId="0" fillId="0" borderId="0" xfId="0" applyNumberFormat="1"/>
    <xf numFmtId="0" fontId="3" fillId="0" borderId="0" xfId="0" applyFont="1"/>
    <xf numFmtId="44" fontId="3" fillId="0" borderId="0" xfId="0" applyNumberFormat="1" applyFont="1"/>
    <xf numFmtId="0" fontId="4" fillId="0" borderId="0" xfId="0" applyFont="1"/>
    <xf numFmtId="44" fontId="4" fillId="0" borderId="0" xfId="1" applyFont="1"/>
    <xf numFmtId="0" fontId="5" fillId="0" borderId="0" xfId="0" applyFont="1"/>
    <xf numFmtId="44" fontId="5" fillId="0" borderId="0" xfId="0" applyNumberFormat="1" applyFont="1"/>
    <xf numFmtId="3" fontId="0" fillId="0" borderId="0" xfId="0" applyNumberFormat="1"/>
    <xf numFmtId="0" fontId="0" fillId="2" borderId="0" xfId="0" applyFill="1" applyAlignment="1">
      <alignment horizontal="center"/>
    </xf>
    <xf numFmtId="12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EA1F6-F113-453F-BE20-BF504CA1B7EB}">
  <dimension ref="A1:H22"/>
  <sheetViews>
    <sheetView workbookViewId="0">
      <selection activeCell="B17" sqref="B17"/>
    </sheetView>
  </sheetViews>
  <sheetFormatPr baseColWidth="10" defaultRowHeight="14.5" x14ac:dyDescent="0.35"/>
  <cols>
    <col min="1" max="1" width="28.08984375" bestFit="1" customWidth="1"/>
    <col min="2" max="2" width="11.1796875" bestFit="1" customWidth="1"/>
    <col min="4" max="4" width="16.7265625" bestFit="1" customWidth="1"/>
    <col min="5" max="5" width="11.1796875" bestFit="1" customWidth="1"/>
    <col min="7" max="7" width="12.36328125" bestFit="1" customWidth="1"/>
    <col min="8" max="8" width="11.1796875" bestFit="1" customWidth="1"/>
  </cols>
  <sheetData>
    <row r="1" spans="1:8" x14ac:dyDescent="0.35">
      <c r="A1" t="s">
        <v>0</v>
      </c>
      <c r="D1" t="s">
        <v>8</v>
      </c>
    </row>
    <row r="3" spans="1:8" x14ac:dyDescent="0.35">
      <c r="A3" t="s">
        <v>1</v>
      </c>
      <c r="B3" s="1">
        <v>5490</v>
      </c>
      <c r="D3" t="s">
        <v>9</v>
      </c>
      <c r="E3" s="1">
        <v>18325</v>
      </c>
      <c r="G3" s="3" t="s">
        <v>24</v>
      </c>
      <c r="H3" s="4">
        <f>B10-E10</f>
        <v>17346.78</v>
      </c>
    </row>
    <row r="4" spans="1:8" x14ac:dyDescent="0.35">
      <c r="A4" t="s">
        <v>2</v>
      </c>
      <c r="B4" s="1">
        <v>10795.63</v>
      </c>
      <c r="D4" t="s">
        <v>10</v>
      </c>
      <c r="E4" s="20">
        <v>6000</v>
      </c>
    </row>
    <row r="5" spans="1:8" x14ac:dyDescent="0.35">
      <c r="A5" t="s">
        <v>3</v>
      </c>
      <c r="B5" s="1">
        <v>5814</v>
      </c>
      <c r="D5" t="s">
        <v>11</v>
      </c>
      <c r="E5" s="1">
        <v>691.5</v>
      </c>
    </row>
    <row r="6" spans="1:8" x14ac:dyDescent="0.35">
      <c r="A6" t="s">
        <v>4</v>
      </c>
      <c r="B6" s="1">
        <v>25607.73</v>
      </c>
      <c r="D6" t="s">
        <v>12</v>
      </c>
      <c r="E6" s="1">
        <f>4760.46</f>
        <v>4760.46</v>
      </c>
    </row>
    <row r="7" spans="1:8" x14ac:dyDescent="0.35">
      <c r="A7" t="s">
        <v>5</v>
      </c>
      <c r="B7" s="1">
        <v>12688</v>
      </c>
      <c r="D7" t="s">
        <v>13</v>
      </c>
      <c r="E7" s="1">
        <f>2095.12</f>
        <v>2095.12</v>
      </c>
    </row>
    <row r="8" spans="1:8" x14ac:dyDescent="0.35">
      <c r="A8" t="s">
        <v>6</v>
      </c>
      <c r="B8" s="1">
        <v>2790</v>
      </c>
      <c r="D8" t="s">
        <v>14</v>
      </c>
      <c r="E8" s="1">
        <f>27933/2</f>
        <v>13966.5</v>
      </c>
    </row>
    <row r="9" spans="1:8" x14ac:dyDescent="0.35">
      <c r="A9" t="s">
        <v>7</v>
      </c>
      <c r="B9" s="1"/>
      <c r="D9" s="12" t="s">
        <v>15</v>
      </c>
      <c r="E9" s="13">
        <f>SUM(E5:E8)</f>
        <v>21513.58</v>
      </c>
    </row>
    <row r="10" spans="1:8" x14ac:dyDescent="0.35">
      <c r="A10" s="3" t="s">
        <v>27</v>
      </c>
      <c r="B10" s="6">
        <f>SUM(B3:B9)</f>
        <v>63185.36</v>
      </c>
      <c r="D10" s="3" t="s">
        <v>16</v>
      </c>
      <c r="E10" s="2">
        <f>E3+E4+E5+E6+E7+E8</f>
        <v>45838.58</v>
      </c>
      <c r="G10" t="s">
        <v>17</v>
      </c>
      <c r="H10" s="2">
        <f>E9</f>
        <v>21513.58</v>
      </c>
    </row>
    <row r="11" spans="1:8" x14ac:dyDescent="0.35">
      <c r="B11" s="1"/>
      <c r="G11" t="s">
        <v>18</v>
      </c>
      <c r="H11" s="1">
        <f>4750.08</f>
        <v>4750.08</v>
      </c>
    </row>
    <row r="12" spans="1:8" x14ac:dyDescent="0.35">
      <c r="B12" s="1"/>
      <c r="H12" s="4">
        <f>SUM(H10:H11)</f>
        <v>26263.660000000003</v>
      </c>
    </row>
    <row r="13" spans="1:8" x14ac:dyDescent="0.35">
      <c r="A13" s="7" t="s">
        <v>36</v>
      </c>
      <c r="B13" s="8">
        <v>316</v>
      </c>
      <c r="G13" t="s">
        <v>19</v>
      </c>
      <c r="H13" s="1">
        <v>11304</v>
      </c>
    </row>
    <row r="14" spans="1:8" x14ac:dyDescent="0.35">
      <c r="A14" s="9" t="s">
        <v>38</v>
      </c>
      <c r="B14" s="10">
        <v>61</v>
      </c>
      <c r="H14" s="2">
        <f>H12-H13</f>
        <v>14959.660000000003</v>
      </c>
    </row>
    <row r="15" spans="1:8" x14ac:dyDescent="0.35">
      <c r="B15" s="1"/>
    </row>
    <row r="16" spans="1:8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22" spans="2:2" x14ac:dyDescent="0.35">
      <c r="B22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CECD-9190-4270-A13A-799A47BE4252}">
  <dimension ref="A1:K60"/>
  <sheetViews>
    <sheetView workbookViewId="0">
      <selection activeCell="K4" sqref="K4"/>
    </sheetView>
  </sheetViews>
  <sheetFormatPr baseColWidth="10" defaultRowHeight="14.5" x14ac:dyDescent="0.35"/>
  <cols>
    <col min="1" max="1" width="18" bestFit="1" customWidth="1"/>
    <col min="2" max="3" width="11.1796875" bestFit="1" customWidth="1"/>
    <col min="4" max="4" width="16.7265625" bestFit="1" customWidth="1"/>
    <col min="5" max="5" width="11.1796875" bestFit="1" customWidth="1"/>
    <col min="7" max="7" width="12.36328125" bestFit="1" customWidth="1"/>
    <col min="8" max="8" width="11.1796875" bestFit="1" customWidth="1"/>
    <col min="9" max="9" width="11.1796875" customWidth="1"/>
    <col min="10" max="10" width="28.08984375" bestFit="1" customWidth="1"/>
  </cols>
  <sheetData>
    <row r="1" spans="1:11" x14ac:dyDescent="0.35">
      <c r="A1" t="s">
        <v>0</v>
      </c>
      <c r="D1" t="s">
        <v>8</v>
      </c>
    </row>
    <row r="3" spans="1:11" x14ac:dyDescent="0.35">
      <c r="A3" t="s">
        <v>1</v>
      </c>
      <c r="B3" s="1">
        <v>6750</v>
      </c>
      <c r="D3" t="s">
        <v>9</v>
      </c>
      <c r="E3" s="1">
        <v>28400</v>
      </c>
      <c r="G3" s="3" t="s">
        <v>24</v>
      </c>
      <c r="H3" s="4">
        <f>B8-E10</f>
        <v>24649.37000000001</v>
      </c>
      <c r="I3" s="4"/>
      <c r="J3" s="7" t="s">
        <v>37</v>
      </c>
      <c r="K3" s="7">
        <v>478</v>
      </c>
    </row>
    <row r="4" spans="1:11" x14ac:dyDescent="0.35">
      <c r="A4" t="s">
        <v>2</v>
      </c>
      <c r="B4">
        <v>14163.86</v>
      </c>
      <c r="D4" t="s">
        <v>10</v>
      </c>
      <c r="E4" s="20">
        <v>6000</v>
      </c>
      <c r="J4" s="9" t="s">
        <v>38</v>
      </c>
      <c r="K4" s="9">
        <v>71</v>
      </c>
    </row>
    <row r="5" spans="1:11" x14ac:dyDescent="0.35">
      <c r="A5" t="s">
        <v>3</v>
      </c>
      <c r="B5" s="1">
        <v>9234</v>
      </c>
      <c r="D5" t="s">
        <v>11</v>
      </c>
      <c r="E5" s="1">
        <f>(1750+1709)-1569</f>
        <v>1890</v>
      </c>
      <c r="F5" t="s">
        <v>26</v>
      </c>
    </row>
    <row r="6" spans="1:11" x14ac:dyDescent="0.35">
      <c r="A6" t="s">
        <v>4</v>
      </c>
      <c r="B6" s="1">
        <v>33996.870000000003</v>
      </c>
      <c r="D6" t="s">
        <v>12</v>
      </c>
      <c r="E6" s="1">
        <f>(709+4476.33)</f>
        <v>5185.33</v>
      </c>
    </row>
    <row r="7" spans="1:11" x14ac:dyDescent="0.35">
      <c r="A7" t="s">
        <v>22</v>
      </c>
      <c r="B7" s="1">
        <v>18169</v>
      </c>
      <c r="D7" t="s">
        <v>13</v>
      </c>
      <c r="E7" s="1">
        <f>2222.53</f>
        <v>2222.5300000000002</v>
      </c>
    </row>
    <row r="8" spans="1:11" x14ac:dyDescent="0.35">
      <c r="A8" s="3" t="s">
        <v>27</v>
      </c>
      <c r="B8" s="6">
        <f>SUM(B3:B7)</f>
        <v>82313.73000000001</v>
      </c>
      <c r="D8" t="s">
        <v>14</v>
      </c>
      <c r="E8" s="1">
        <f>27933/2</f>
        <v>13966.5</v>
      </c>
    </row>
    <row r="9" spans="1:11" x14ac:dyDescent="0.35">
      <c r="B9" s="1"/>
      <c r="D9" s="12" t="s">
        <v>15</v>
      </c>
      <c r="E9" s="13">
        <f>SUM(E5:E8)</f>
        <v>23264.36</v>
      </c>
    </row>
    <row r="10" spans="1:11" x14ac:dyDescent="0.35">
      <c r="B10" s="1"/>
      <c r="D10" s="3" t="s">
        <v>16</v>
      </c>
      <c r="E10" s="2">
        <f>E3+E4+E5+E6+E7+E8</f>
        <v>57664.36</v>
      </c>
      <c r="G10" t="s">
        <v>17</v>
      </c>
      <c r="H10" s="2">
        <f>E9</f>
        <v>23264.36</v>
      </c>
      <c r="I10" s="2"/>
    </row>
    <row r="11" spans="1:11" x14ac:dyDescent="0.35">
      <c r="G11" t="s">
        <v>18</v>
      </c>
      <c r="H11" s="1">
        <v>9500.15</v>
      </c>
      <c r="I11" s="1"/>
    </row>
    <row r="12" spans="1:11" x14ac:dyDescent="0.35">
      <c r="H12" s="4">
        <f>SUM(H10:H11)</f>
        <v>32764.510000000002</v>
      </c>
      <c r="I12" s="4"/>
    </row>
    <row r="13" spans="1:11" x14ac:dyDescent="0.35">
      <c r="G13" t="s">
        <v>19</v>
      </c>
      <c r="H13" s="1">
        <f>6750+9234</f>
        <v>15984</v>
      </c>
      <c r="I13" s="1"/>
    </row>
    <row r="14" spans="1:11" x14ac:dyDescent="0.35">
      <c r="H14" s="2">
        <f>H12-H13</f>
        <v>16780.510000000002</v>
      </c>
      <c r="I14" s="2"/>
    </row>
    <row r="16" spans="1:11" x14ac:dyDescent="0.35">
      <c r="A16" s="5" t="s">
        <v>20</v>
      </c>
      <c r="C16" t="s">
        <v>25</v>
      </c>
      <c r="E16" t="s">
        <v>9</v>
      </c>
    </row>
    <row r="17" spans="1:5" x14ac:dyDescent="0.35">
      <c r="A17">
        <v>338</v>
      </c>
      <c r="C17">
        <v>477</v>
      </c>
      <c r="E17">
        <v>400</v>
      </c>
    </row>
    <row r="18" spans="1:5" x14ac:dyDescent="0.35">
      <c r="A18">
        <v>508</v>
      </c>
      <c r="C18">
        <v>40</v>
      </c>
      <c r="E18">
        <v>200</v>
      </c>
    </row>
    <row r="19" spans="1:5" x14ac:dyDescent="0.35">
      <c r="A19">
        <v>929.5</v>
      </c>
      <c r="C19">
        <v>90</v>
      </c>
      <c r="E19">
        <v>1000</v>
      </c>
    </row>
    <row r="20" spans="1:5" x14ac:dyDescent="0.35">
      <c r="A20">
        <v>2222.69</v>
      </c>
      <c r="C20">
        <v>1800</v>
      </c>
      <c r="E20">
        <v>500</v>
      </c>
    </row>
    <row r="21" spans="1:5" x14ac:dyDescent="0.35">
      <c r="A21">
        <v>1512.9</v>
      </c>
      <c r="C21">
        <v>159</v>
      </c>
      <c r="E21">
        <v>500</v>
      </c>
    </row>
    <row r="22" spans="1:5" x14ac:dyDescent="0.35">
      <c r="A22">
        <v>5331.89</v>
      </c>
      <c r="C22">
        <v>1800</v>
      </c>
      <c r="E22">
        <v>1250</v>
      </c>
    </row>
    <row r="23" spans="1:5" x14ac:dyDescent="0.35">
      <c r="A23">
        <v>169</v>
      </c>
      <c r="C23">
        <v>180</v>
      </c>
      <c r="E23">
        <v>625</v>
      </c>
    </row>
    <row r="24" spans="1:5" x14ac:dyDescent="0.35">
      <c r="A24">
        <v>6322.32</v>
      </c>
      <c r="C24">
        <v>40</v>
      </c>
      <c r="E24">
        <v>500</v>
      </c>
    </row>
    <row r="25" spans="1:5" x14ac:dyDescent="0.35">
      <c r="A25">
        <v>332</v>
      </c>
      <c r="C25">
        <v>1710</v>
      </c>
      <c r="E25">
        <v>800</v>
      </c>
    </row>
    <row r="26" spans="1:5" x14ac:dyDescent="0.35">
      <c r="A26">
        <v>2290.19</v>
      </c>
      <c r="C26">
        <v>877</v>
      </c>
      <c r="E26">
        <v>875</v>
      </c>
    </row>
    <row r="27" spans="1:5" x14ac:dyDescent="0.35">
      <c r="A27">
        <v>845</v>
      </c>
      <c r="C27">
        <v>676</v>
      </c>
      <c r="E27">
        <v>500</v>
      </c>
    </row>
    <row r="28" spans="1:5" x14ac:dyDescent="0.35">
      <c r="A28">
        <v>1174.9000000000001</v>
      </c>
      <c r="C28">
        <v>80</v>
      </c>
      <c r="E28">
        <v>250</v>
      </c>
    </row>
    <row r="29" spans="1:5" x14ac:dyDescent="0.35">
      <c r="A29">
        <v>9147.48</v>
      </c>
      <c r="C29">
        <v>507</v>
      </c>
      <c r="E29">
        <v>1000</v>
      </c>
    </row>
    <row r="30" spans="1:5" x14ac:dyDescent="0.35">
      <c r="A30">
        <v>338</v>
      </c>
      <c r="C30">
        <v>1296</v>
      </c>
      <c r="E30">
        <v>900</v>
      </c>
    </row>
    <row r="31" spans="1:5" x14ac:dyDescent="0.35">
      <c r="A31">
        <v>845</v>
      </c>
      <c r="C31">
        <v>549</v>
      </c>
      <c r="E31">
        <v>1100</v>
      </c>
    </row>
    <row r="32" spans="1:5" x14ac:dyDescent="0.35">
      <c r="A32">
        <v>1521</v>
      </c>
      <c r="C32">
        <v>120</v>
      </c>
      <c r="E32">
        <v>1250</v>
      </c>
    </row>
    <row r="33" spans="1:5" x14ac:dyDescent="0.35">
      <c r="A33">
        <v>169</v>
      </c>
      <c r="C33">
        <v>2592</v>
      </c>
      <c r="E33">
        <v>250</v>
      </c>
    </row>
    <row r="34" spans="1:5" x14ac:dyDescent="0.35">
      <c r="A34" s="1">
        <f>SUM(A17:A33)</f>
        <v>33996.869999999995</v>
      </c>
      <c r="C34">
        <v>1167</v>
      </c>
      <c r="E34">
        <v>600</v>
      </c>
    </row>
    <row r="35" spans="1:5" x14ac:dyDescent="0.35">
      <c r="C35">
        <v>1199</v>
      </c>
      <c r="E35">
        <v>600</v>
      </c>
    </row>
    <row r="36" spans="1:5" x14ac:dyDescent="0.35">
      <c r="C36">
        <v>199</v>
      </c>
      <c r="E36">
        <v>700</v>
      </c>
    </row>
    <row r="37" spans="1:5" x14ac:dyDescent="0.35">
      <c r="C37">
        <v>1296</v>
      </c>
      <c r="E37">
        <v>500</v>
      </c>
    </row>
    <row r="38" spans="1:5" x14ac:dyDescent="0.35">
      <c r="C38">
        <v>1175</v>
      </c>
      <c r="E38">
        <v>500</v>
      </c>
    </row>
    <row r="39" spans="1:5" x14ac:dyDescent="0.35">
      <c r="C39">
        <v>50</v>
      </c>
      <c r="E39">
        <v>1375</v>
      </c>
    </row>
    <row r="40" spans="1:5" x14ac:dyDescent="0.35">
      <c r="C40">
        <v>90</v>
      </c>
      <c r="E40">
        <v>625</v>
      </c>
    </row>
    <row r="41" spans="1:5" x14ac:dyDescent="0.35">
      <c r="C41" s="1">
        <f>SUM(C17:C40)</f>
        <v>18169</v>
      </c>
      <c r="E41">
        <v>500</v>
      </c>
    </row>
    <row r="42" spans="1:5" x14ac:dyDescent="0.35">
      <c r="E42">
        <v>550</v>
      </c>
    </row>
    <row r="43" spans="1:5" x14ac:dyDescent="0.35">
      <c r="E43">
        <v>375</v>
      </c>
    </row>
    <row r="44" spans="1:5" x14ac:dyDescent="0.35">
      <c r="E44">
        <v>600</v>
      </c>
    </row>
    <row r="45" spans="1:5" x14ac:dyDescent="0.35">
      <c r="E45">
        <v>600</v>
      </c>
    </row>
    <row r="46" spans="1:5" x14ac:dyDescent="0.35">
      <c r="E46">
        <v>1500</v>
      </c>
    </row>
    <row r="47" spans="1:5" x14ac:dyDescent="0.35">
      <c r="E47">
        <v>950</v>
      </c>
    </row>
    <row r="48" spans="1:5" x14ac:dyDescent="0.35">
      <c r="E48">
        <v>250</v>
      </c>
    </row>
    <row r="49" spans="5:5" x14ac:dyDescent="0.35">
      <c r="E49">
        <v>1125</v>
      </c>
    </row>
    <row r="50" spans="5:5" x14ac:dyDescent="0.35">
      <c r="E50">
        <v>500</v>
      </c>
    </row>
    <row r="51" spans="5:5" x14ac:dyDescent="0.35">
      <c r="E51">
        <v>750</v>
      </c>
    </row>
    <row r="52" spans="5:5" x14ac:dyDescent="0.35">
      <c r="E52">
        <v>500</v>
      </c>
    </row>
    <row r="53" spans="5:5" x14ac:dyDescent="0.35">
      <c r="E53">
        <v>100</v>
      </c>
    </row>
    <row r="54" spans="5:5" x14ac:dyDescent="0.35">
      <c r="E54">
        <v>250</v>
      </c>
    </row>
    <row r="55" spans="5:5" x14ac:dyDescent="0.35">
      <c r="E55">
        <v>250</v>
      </c>
    </row>
    <row r="56" spans="5:5" x14ac:dyDescent="0.35">
      <c r="E56">
        <v>500</v>
      </c>
    </row>
    <row r="57" spans="5:5" x14ac:dyDescent="0.35">
      <c r="E57">
        <v>1000</v>
      </c>
    </row>
    <row r="58" spans="5:5" x14ac:dyDescent="0.35">
      <c r="E58">
        <v>300</v>
      </c>
    </row>
    <row r="59" spans="5:5" x14ac:dyDescent="0.35">
      <c r="E59">
        <v>1000</v>
      </c>
    </row>
    <row r="60" spans="5:5" x14ac:dyDescent="0.35">
      <c r="E60" s="1">
        <f>SUM(E17:E59)</f>
        <v>28400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AEA7-8957-491F-8F68-B97507A587C0}">
  <dimension ref="A1:L48"/>
  <sheetViews>
    <sheetView workbookViewId="0">
      <selection activeCell="L3" sqref="L3"/>
    </sheetView>
  </sheetViews>
  <sheetFormatPr baseColWidth="10" defaultRowHeight="14.5" x14ac:dyDescent="0.35"/>
  <cols>
    <col min="1" max="2" width="11.1796875" bestFit="1" customWidth="1"/>
    <col min="4" max="4" width="16.7265625" bestFit="1" customWidth="1"/>
    <col min="5" max="5" width="11.1796875" bestFit="1" customWidth="1"/>
    <col min="7" max="7" width="13.1796875" customWidth="1"/>
    <col min="8" max="10" width="11.1796875" bestFit="1" customWidth="1"/>
    <col min="11" max="11" width="28.6328125" bestFit="1" customWidth="1"/>
  </cols>
  <sheetData>
    <row r="1" spans="1:12" x14ac:dyDescent="0.35">
      <c r="A1" t="s">
        <v>0</v>
      </c>
      <c r="D1" t="s">
        <v>8</v>
      </c>
    </row>
    <row r="2" spans="1:12" x14ac:dyDescent="0.35">
      <c r="H2" s="3" t="s">
        <v>24</v>
      </c>
      <c r="I2" s="4">
        <f>B8-E10</f>
        <v>12671.029999999992</v>
      </c>
      <c r="K2" s="7" t="s">
        <v>36</v>
      </c>
      <c r="L2" s="7">
        <v>491</v>
      </c>
    </row>
    <row r="3" spans="1:12" x14ac:dyDescent="0.35">
      <c r="A3" t="s">
        <v>1</v>
      </c>
      <c r="B3" s="1">
        <v>7110</v>
      </c>
      <c r="D3" t="s">
        <v>9</v>
      </c>
      <c r="E3" s="1">
        <v>23950</v>
      </c>
      <c r="K3" s="9" t="s">
        <v>38</v>
      </c>
      <c r="L3" s="9">
        <v>79</v>
      </c>
    </row>
    <row r="4" spans="1:12" x14ac:dyDescent="0.35">
      <c r="A4" t="s">
        <v>2</v>
      </c>
      <c r="B4" s="1">
        <v>16063.89</v>
      </c>
      <c r="D4" t="s">
        <v>10</v>
      </c>
      <c r="E4" s="1">
        <v>3750</v>
      </c>
    </row>
    <row r="5" spans="1:12" x14ac:dyDescent="0.35">
      <c r="A5" t="s">
        <v>3</v>
      </c>
      <c r="B5" s="1">
        <v>11628</v>
      </c>
      <c r="D5" t="s">
        <v>11</v>
      </c>
      <c r="E5" s="1">
        <f>(228+1500)</f>
        <v>1728</v>
      </c>
      <c r="F5" t="s">
        <v>23</v>
      </c>
    </row>
    <row r="6" spans="1:12" x14ac:dyDescent="0.35">
      <c r="A6" t="s">
        <v>4</v>
      </c>
      <c r="B6" s="1">
        <v>22336.34</v>
      </c>
      <c r="D6" t="s">
        <v>12</v>
      </c>
      <c r="E6" s="1">
        <f>(744.82+4476.33)</f>
        <v>5221.1499999999996</v>
      </c>
    </row>
    <row r="7" spans="1:12" x14ac:dyDescent="0.35">
      <c r="A7" t="s">
        <v>22</v>
      </c>
      <c r="B7" s="1">
        <v>6289.5</v>
      </c>
      <c r="D7" t="s">
        <v>13</v>
      </c>
      <c r="E7" s="1">
        <f>2141.05</f>
        <v>2141.0500000000002</v>
      </c>
    </row>
    <row r="8" spans="1:12" x14ac:dyDescent="0.35">
      <c r="B8" s="1">
        <f>SUM(B3:B7)</f>
        <v>63427.729999999996</v>
      </c>
      <c r="D8" t="s">
        <v>14</v>
      </c>
      <c r="E8" s="1">
        <f>27933/2</f>
        <v>13966.5</v>
      </c>
    </row>
    <row r="9" spans="1:12" x14ac:dyDescent="0.35">
      <c r="B9" s="1"/>
      <c r="D9" s="12" t="s">
        <v>15</v>
      </c>
      <c r="E9" s="13">
        <f>SUM(E5:E8)</f>
        <v>23056.7</v>
      </c>
    </row>
    <row r="10" spans="1:12" x14ac:dyDescent="0.35">
      <c r="B10" s="1"/>
      <c r="D10" s="3" t="s">
        <v>16</v>
      </c>
      <c r="E10" s="2">
        <f>E3+E4+E5+E6+E7+E8</f>
        <v>50756.700000000004</v>
      </c>
      <c r="G10" t="s">
        <v>17</v>
      </c>
      <c r="H10" s="2">
        <f>E9</f>
        <v>23056.7</v>
      </c>
      <c r="J10" s="2"/>
    </row>
    <row r="11" spans="1:12" x14ac:dyDescent="0.35">
      <c r="G11" t="s">
        <v>18</v>
      </c>
      <c r="H11" s="1">
        <v>4145.5200000000004</v>
      </c>
    </row>
    <row r="12" spans="1:12" x14ac:dyDescent="0.35">
      <c r="H12" s="4">
        <f>SUM(H10:H11)</f>
        <v>27202.22</v>
      </c>
    </row>
    <row r="13" spans="1:12" x14ac:dyDescent="0.35">
      <c r="G13" t="s">
        <v>19</v>
      </c>
      <c r="H13" s="1">
        <f>B3+B5</f>
        <v>18738</v>
      </c>
    </row>
    <row r="14" spans="1:12" x14ac:dyDescent="0.35">
      <c r="A14" t="s">
        <v>20</v>
      </c>
      <c r="C14" t="s">
        <v>21</v>
      </c>
      <c r="E14" t="s">
        <v>9</v>
      </c>
      <c r="H14" s="2">
        <f>H12-H13</f>
        <v>8464.2200000000012</v>
      </c>
    </row>
    <row r="15" spans="1:12" x14ac:dyDescent="0.35">
      <c r="A15">
        <v>2902.61</v>
      </c>
      <c r="C15">
        <v>80</v>
      </c>
      <c r="E15">
        <v>250</v>
      </c>
    </row>
    <row r="16" spans="1:12" x14ac:dyDescent="0.35">
      <c r="A16">
        <v>338</v>
      </c>
      <c r="C16">
        <v>40</v>
      </c>
      <c r="E16">
        <v>500</v>
      </c>
    </row>
    <row r="17" spans="1:5" x14ac:dyDescent="0.35">
      <c r="A17">
        <v>1343.9</v>
      </c>
      <c r="C17">
        <v>180</v>
      </c>
      <c r="E17">
        <v>375</v>
      </c>
    </row>
    <row r="18" spans="1:5" x14ac:dyDescent="0.35">
      <c r="A18">
        <v>507</v>
      </c>
      <c r="C18">
        <v>1000</v>
      </c>
      <c r="E18">
        <v>250</v>
      </c>
    </row>
    <row r="19" spans="1:5" x14ac:dyDescent="0.35">
      <c r="A19">
        <v>422.5</v>
      </c>
      <c r="C19">
        <v>159</v>
      </c>
      <c r="E19">
        <v>1800</v>
      </c>
    </row>
    <row r="20" spans="1:5" x14ac:dyDescent="0.35">
      <c r="A20">
        <v>3761.28</v>
      </c>
      <c r="C20">
        <v>1525</v>
      </c>
      <c r="E20">
        <v>250</v>
      </c>
    </row>
    <row r="21" spans="1:5" x14ac:dyDescent="0.35">
      <c r="A21">
        <v>1635.11</v>
      </c>
      <c r="C21">
        <v>1199</v>
      </c>
      <c r="E21">
        <v>1375</v>
      </c>
    </row>
    <row r="22" spans="1:5" x14ac:dyDescent="0.35">
      <c r="A22">
        <v>338</v>
      </c>
      <c r="C22">
        <v>159</v>
      </c>
      <c r="E22">
        <v>400</v>
      </c>
    </row>
    <row r="23" spans="1:5" x14ac:dyDescent="0.35">
      <c r="A23">
        <v>1673.8</v>
      </c>
      <c r="C23">
        <v>180</v>
      </c>
      <c r="E23">
        <v>400</v>
      </c>
    </row>
    <row r="24" spans="1:5" x14ac:dyDescent="0.35">
      <c r="A24">
        <v>169</v>
      </c>
      <c r="C24">
        <v>318</v>
      </c>
      <c r="E24">
        <v>500</v>
      </c>
    </row>
    <row r="25" spans="1:5" x14ac:dyDescent="0.35">
      <c r="A25">
        <v>676</v>
      </c>
      <c r="C25">
        <v>1449.5</v>
      </c>
      <c r="E25">
        <v>750</v>
      </c>
    </row>
    <row r="26" spans="1:5" x14ac:dyDescent="0.35">
      <c r="A26">
        <v>1905.95</v>
      </c>
      <c r="C26" s="1">
        <f>SUM(C15:C25)</f>
        <v>6289.5</v>
      </c>
      <c r="E26">
        <v>500</v>
      </c>
    </row>
    <row r="27" spans="1:5" x14ac:dyDescent="0.35">
      <c r="A27">
        <v>591.5</v>
      </c>
      <c r="E27">
        <v>1125</v>
      </c>
    </row>
    <row r="28" spans="1:5" x14ac:dyDescent="0.35">
      <c r="A28">
        <v>1850.9</v>
      </c>
      <c r="E28">
        <v>500</v>
      </c>
    </row>
    <row r="29" spans="1:5" x14ac:dyDescent="0.35">
      <c r="A29">
        <v>130.85</v>
      </c>
      <c r="E29">
        <v>600</v>
      </c>
    </row>
    <row r="30" spans="1:5" x14ac:dyDescent="0.35">
      <c r="A30">
        <v>845</v>
      </c>
      <c r="E30">
        <v>600</v>
      </c>
    </row>
    <row r="31" spans="1:5" x14ac:dyDescent="0.35">
      <c r="A31">
        <v>100.85</v>
      </c>
      <c r="E31">
        <v>600</v>
      </c>
    </row>
    <row r="32" spans="1:5" x14ac:dyDescent="0.35">
      <c r="A32">
        <v>2130.09</v>
      </c>
      <c r="E32">
        <v>600</v>
      </c>
    </row>
    <row r="33" spans="1:5" x14ac:dyDescent="0.35">
      <c r="A33">
        <v>507</v>
      </c>
      <c r="E33">
        <v>600</v>
      </c>
    </row>
    <row r="34" spans="1:5" x14ac:dyDescent="0.35">
      <c r="A34">
        <v>507</v>
      </c>
      <c r="E34">
        <v>750</v>
      </c>
    </row>
    <row r="35" spans="1:5" x14ac:dyDescent="0.35">
      <c r="A35" s="1">
        <f>SUM(A15:A34)</f>
        <v>22336.34</v>
      </c>
      <c r="E35">
        <v>500</v>
      </c>
    </row>
    <row r="36" spans="1:5" x14ac:dyDescent="0.35">
      <c r="E36">
        <v>875</v>
      </c>
    </row>
    <row r="37" spans="1:5" x14ac:dyDescent="0.35">
      <c r="E37">
        <v>900</v>
      </c>
    </row>
    <row r="38" spans="1:5" x14ac:dyDescent="0.35">
      <c r="E38">
        <v>1975</v>
      </c>
    </row>
    <row r="39" spans="1:5" x14ac:dyDescent="0.35">
      <c r="E39">
        <v>750</v>
      </c>
    </row>
    <row r="40" spans="1:5" x14ac:dyDescent="0.35">
      <c r="E40">
        <v>750</v>
      </c>
    </row>
    <row r="41" spans="1:5" x14ac:dyDescent="0.35">
      <c r="E41">
        <v>750</v>
      </c>
    </row>
    <row r="42" spans="1:5" x14ac:dyDescent="0.35">
      <c r="E42">
        <v>1050</v>
      </c>
    </row>
    <row r="43" spans="1:5" x14ac:dyDescent="0.35">
      <c r="E43">
        <v>750</v>
      </c>
    </row>
    <row r="44" spans="1:5" x14ac:dyDescent="0.35">
      <c r="E44">
        <v>750</v>
      </c>
    </row>
    <row r="45" spans="1:5" x14ac:dyDescent="0.35">
      <c r="E45">
        <v>750</v>
      </c>
    </row>
    <row r="46" spans="1:5" x14ac:dyDescent="0.35">
      <c r="E46">
        <v>1025</v>
      </c>
    </row>
    <row r="47" spans="1:5" x14ac:dyDescent="0.35">
      <c r="E47">
        <v>400</v>
      </c>
    </row>
    <row r="48" spans="1:5" x14ac:dyDescent="0.35">
      <c r="E48" s="1">
        <f>SUM(E15:E47)</f>
        <v>23950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3E8EE-084C-4707-AA37-1041F07A96A4}">
  <dimension ref="A1:L49"/>
  <sheetViews>
    <sheetView workbookViewId="0">
      <selection activeCell="L5" sqref="L5"/>
    </sheetView>
  </sheetViews>
  <sheetFormatPr baseColWidth="10" defaultRowHeight="14.5" x14ac:dyDescent="0.35"/>
  <cols>
    <col min="1" max="2" width="11.1796875" bestFit="1" customWidth="1"/>
    <col min="3" max="3" width="5.36328125" customWidth="1"/>
    <col min="4" max="4" width="16.7265625" customWidth="1"/>
    <col min="5" max="5" width="11.1796875" bestFit="1" customWidth="1"/>
    <col min="7" max="7" width="12.36328125" bestFit="1" customWidth="1"/>
    <col min="8" max="9" width="11.1796875" bestFit="1" customWidth="1"/>
    <col min="11" max="11" width="28.08984375" bestFit="1" customWidth="1"/>
  </cols>
  <sheetData>
    <row r="1" spans="1:12" x14ac:dyDescent="0.35">
      <c r="A1" s="19" t="s">
        <v>0</v>
      </c>
      <c r="B1" s="19"/>
      <c r="D1" s="19" t="s">
        <v>8</v>
      </c>
      <c r="E1" s="19"/>
    </row>
    <row r="2" spans="1:12" x14ac:dyDescent="0.35">
      <c r="A2" t="s">
        <v>1</v>
      </c>
      <c r="B2" s="1">
        <v>3510</v>
      </c>
      <c r="D2" t="s">
        <v>9</v>
      </c>
      <c r="E2" s="1">
        <v>24200</v>
      </c>
    </row>
    <row r="3" spans="1:12" x14ac:dyDescent="0.35">
      <c r="A3" t="s">
        <v>2</v>
      </c>
      <c r="B3" s="1">
        <v>12954</v>
      </c>
      <c r="D3" s="14" t="s">
        <v>10</v>
      </c>
      <c r="E3" s="15">
        <v>3750</v>
      </c>
      <c r="H3" s="3" t="s">
        <v>24</v>
      </c>
      <c r="I3" s="4">
        <f>B7-E9</f>
        <v>12033.470000000001</v>
      </c>
      <c r="K3" s="7" t="s">
        <v>36</v>
      </c>
      <c r="L3" s="7">
        <v>404</v>
      </c>
    </row>
    <row r="4" spans="1:12" x14ac:dyDescent="0.35">
      <c r="A4" t="s">
        <v>3</v>
      </c>
      <c r="B4" s="1">
        <v>13594.5</v>
      </c>
      <c r="D4" t="s">
        <v>11</v>
      </c>
      <c r="E4" s="1">
        <f>(2004)+ 390 + 892</f>
        <v>3286</v>
      </c>
      <c r="F4" t="s">
        <v>28</v>
      </c>
      <c r="G4" t="s">
        <v>29</v>
      </c>
      <c r="K4" s="9" t="s">
        <v>38</v>
      </c>
      <c r="L4" s="9">
        <v>72</v>
      </c>
    </row>
    <row r="5" spans="1:12" x14ac:dyDescent="0.35">
      <c r="A5" t="s">
        <v>4</v>
      </c>
      <c r="B5" s="1">
        <v>26908</v>
      </c>
      <c r="D5" t="s">
        <v>12</v>
      </c>
      <c r="E5" s="1">
        <f>(745.29+4476.33)</f>
        <v>5221.62</v>
      </c>
    </row>
    <row r="6" spans="1:12" x14ac:dyDescent="0.35">
      <c r="A6" t="s">
        <v>22</v>
      </c>
      <c r="B6" s="1">
        <v>8004</v>
      </c>
      <c r="D6" t="s">
        <v>13</v>
      </c>
      <c r="E6" s="1">
        <v>2512.91</v>
      </c>
    </row>
    <row r="7" spans="1:12" x14ac:dyDescent="0.35">
      <c r="B7" s="6">
        <f>SUM(B2:B6)</f>
        <v>64970.5</v>
      </c>
      <c r="D7" t="s">
        <v>14</v>
      </c>
      <c r="E7" s="1">
        <f>27933/2</f>
        <v>13966.5</v>
      </c>
    </row>
    <row r="8" spans="1:12" x14ac:dyDescent="0.35">
      <c r="B8" s="1"/>
      <c r="D8" s="12" t="s">
        <v>15</v>
      </c>
      <c r="E8" s="13">
        <f>SUM(E4:E7)</f>
        <v>24987.03</v>
      </c>
      <c r="G8" s="19"/>
      <c r="H8" s="19"/>
    </row>
    <row r="9" spans="1:12" x14ac:dyDescent="0.35">
      <c r="B9" s="1"/>
      <c r="D9" s="3" t="s">
        <v>16</v>
      </c>
      <c r="E9" s="2">
        <f>E2+E3+E4+E5+E6+E7</f>
        <v>52937.03</v>
      </c>
      <c r="G9" t="s">
        <v>17</v>
      </c>
      <c r="H9" s="2">
        <f>E8</f>
        <v>24987.03</v>
      </c>
    </row>
    <row r="10" spans="1:12" x14ac:dyDescent="0.35">
      <c r="G10" t="s">
        <v>18</v>
      </c>
      <c r="H10" s="1">
        <v>4145.5200000000004</v>
      </c>
    </row>
    <row r="11" spans="1:12" x14ac:dyDescent="0.35">
      <c r="H11" s="4">
        <f>SUM(H9:H10)</f>
        <v>29132.55</v>
      </c>
    </row>
    <row r="12" spans="1:12" x14ac:dyDescent="0.35">
      <c r="A12" t="s">
        <v>20</v>
      </c>
      <c r="B12" t="s">
        <v>25</v>
      </c>
      <c r="D12" t="s">
        <v>9</v>
      </c>
      <c r="G12" t="s">
        <v>19</v>
      </c>
      <c r="H12" s="1">
        <f>B2+B4</f>
        <v>17104.5</v>
      </c>
    </row>
    <row r="13" spans="1:12" x14ac:dyDescent="0.35">
      <c r="A13">
        <v>2311.11</v>
      </c>
      <c r="B13">
        <v>180</v>
      </c>
      <c r="D13">
        <v>125</v>
      </c>
      <c r="H13" s="2">
        <f>H11-H12</f>
        <v>12028.05</v>
      </c>
    </row>
    <row r="14" spans="1:12" x14ac:dyDescent="0.35">
      <c r="A14">
        <v>676</v>
      </c>
      <c r="B14">
        <v>90</v>
      </c>
      <c r="D14">
        <v>50</v>
      </c>
    </row>
    <row r="15" spans="1:12" x14ac:dyDescent="0.35">
      <c r="A15">
        <v>3655.01</v>
      </c>
      <c r="B15">
        <v>40</v>
      </c>
      <c r="D15">
        <v>600</v>
      </c>
    </row>
    <row r="16" spans="1:12" x14ac:dyDescent="0.35">
      <c r="A16">
        <v>1343.9</v>
      </c>
      <c r="B16">
        <v>90</v>
      </c>
      <c r="D16">
        <v>600</v>
      </c>
    </row>
    <row r="17" spans="1:4" x14ac:dyDescent="0.35">
      <c r="A17">
        <v>1804.11</v>
      </c>
      <c r="B17">
        <v>832</v>
      </c>
      <c r="D17">
        <v>1125</v>
      </c>
    </row>
    <row r="18" spans="1:4" x14ac:dyDescent="0.35">
      <c r="A18">
        <v>169</v>
      </c>
      <c r="B18">
        <v>180</v>
      </c>
      <c r="D18">
        <v>750</v>
      </c>
    </row>
    <row r="19" spans="1:4" x14ac:dyDescent="0.35">
      <c r="A19">
        <v>2417.38</v>
      </c>
      <c r="B19">
        <v>20</v>
      </c>
      <c r="D19">
        <v>500</v>
      </c>
    </row>
    <row r="20" spans="1:4" x14ac:dyDescent="0.35">
      <c r="A20">
        <v>4291.46</v>
      </c>
      <c r="B20">
        <v>477</v>
      </c>
      <c r="D20">
        <v>750</v>
      </c>
    </row>
    <row r="21" spans="1:4" x14ac:dyDescent="0.35">
      <c r="A21">
        <v>1005.9</v>
      </c>
      <c r="B21">
        <v>180</v>
      </c>
      <c r="D21">
        <v>900</v>
      </c>
    </row>
    <row r="22" spans="1:4" x14ac:dyDescent="0.35">
      <c r="A22">
        <v>1352</v>
      </c>
      <c r="B22">
        <v>339</v>
      </c>
      <c r="D22">
        <v>500</v>
      </c>
    </row>
    <row r="23" spans="1:4" x14ac:dyDescent="0.35">
      <c r="A23">
        <v>507</v>
      </c>
      <c r="B23">
        <v>877</v>
      </c>
      <c r="D23">
        <v>600</v>
      </c>
    </row>
    <row r="24" spans="1:4" x14ac:dyDescent="0.35">
      <c r="A24">
        <v>338</v>
      </c>
      <c r="B24">
        <v>1449.5</v>
      </c>
      <c r="D24">
        <v>600</v>
      </c>
    </row>
    <row r="25" spans="1:4" x14ac:dyDescent="0.35">
      <c r="A25">
        <v>929.5</v>
      </c>
      <c r="B25">
        <v>1710</v>
      </c>
      <c r="D25">
        <v>1375</v>
      </c>
    </row>
    <row r="26" spans="1:4" x14ac:dyDescent="0.35">
      <c r="A26">
        <v>845</v>
      </c>
      <c r="B26">
        <v>90</v>
      </c>
      <c r="D26">
        <v>875</v>
      </c>
    </row>
    <row r="27" spans="1:4" x14ac:dyDescent="0.35">
      <c r="A27">
        <v>3343.31</v>
      </c>
      <c r="B27" s="1">
        <v>1449.5</v>
      </c>
      <c r="D27">
        <v>750</v>
      </c>
    </row>
    <row r="28" spans="1:4" x14ac:dyDescent="0.35">
      <c r="A28">
        <v>507</v>
      </c>
      <c r="B28" s="1">
        <f>SUM(B13:B27)</f>
        <v>8004</v>
      </c>
      <c r="D28">
        <v>500</v>
      </c>
    </row>
    <row r="29" spans="1:4" x14ac:dyDescent="0.35">
      <c r="A29">
        <v>338</v>
      </c>
      <c r="D29">
        <v>500</v>
      </c>
    </row>
    <row r="30" spans="1:4" x14ac:dyDescent="0.35">
      <c r="A30">
        <v>422.5</v>
      </c>
      <c r="D30">
        <v>600</v>
      </c>
    </row>
    <row r="31" spans="1:4" x14ac:dyDescent="0.35">
      <c r="A31">
        <v>651.98</v>
      </c>
      <c r="D31">
        <v>500</v>
      </c>
    </row>
    <row r="32" spans="1:4" x14ac:dyDescent="0.35">
      <c r="A32" s="1">
        <f>SUM(A13:A31)</f>
        <v>26908.160000000003</v>
      </c>
      <c r="D32">
        <v>500</v>
      </c>
    </row>
    <row r="33" spans="4:4" x14ac:dyDescent="0.35">
      <c r="D33">
        <v>875</v>
      </c>
    </row>
    <row r="34" spans="4:4" x14ac:dyDescent="0.35">
      <c r="D34">
        <v>500</v>
      </c>
    </row>
    <row r="35" spans="4:4" x14ac:dyDescent="0.35">
      <c r="D35">
        <v>750</v>
      </c>
    </row>
    <row r="36" spans="4:4" x14ac:dyDescent="0.35">
      <c r="D36">
        <v>750</v>
      </c>
    </row>
    <row r="37" spans="4:4" x14ac:dyDescent="0.35">
      <c r="D37">
        <v>600</v>
      </c>
    </row>
    <row r="38" spans="4:4" x14ac:dyDescent="0.35">
      <c r="D38">
        <v>800</v>
      </c>
    </row>
    <row r="39" spans="4:4" x14ac:dyDescent="0.35">
      <c r="D39">
        <v>150</v>
      </c>
    </row>
    <row r="40" spans="4:4" x14ac:dyDescent="0.35">
      <c r="D40">
        <v>600</v>
      </c>
    </row>
    <row r="41" spans="4:4" x14ac:dyDescent="0.35">
      <c r="D41">
        <v>600</v>
      </c>
    </row>
    <row r="42" spans="4:4" x14ac:dyDescent="0.35">
      <c r="D42">
        <v>1500</v>
      </c>
    </row>
    <row r="43" spans="4:4" x14ac:dyDescent="0.35">
      <c r="D43">
        <v>875</v>
      </c>
    </row>
    <row r="44" spans="4:4" x14ac:dyDescent="0.35">
      <c r="D44">
        <v>1125</v>
      </c>
    </row>
    <row r="45" spans="4:4" x14ac:dyDescent="0.35">
      <c r="D45">
        <v>250</v>
      </c>
    </row>
    <row r="46" spans="4:4" x14ac:dyDescent="0.35">
      <c r="D46">
        <v>750</v>
      </c>
    </row>
    <row r="47" spans="4:4" x14ac:dyDescent="0.35">
      <c r="D47">
        <v>875</v>
      </c>
    </row>
    <row r="48" spans="4:4" x14ac:dyDescent="0.35">
      <c r="D48">
        <v>500</v>
      </c>
    </row>
    <row r="49" spans="4:4" x14ac:dyDescent="0.35">
      <c r="D49" s="1">
        <f>SUM(D13:D48)</f>
        <v>24200</v>
      </c>
    </row>
  </sheetData>
  <mergeCells count="3">
    <mergeCell ref="A1:B1"/>
    <mergeCell ref="D1:E1"/>
    <mergeCell ref="G8:H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00DAE-523E-443F-ABBA-1A0D80B9F592}">
  <dimension ref="A1:L48"/>
  <sheetViews>
    <sheetView workbookViewId="0">
      <selection activeCell="B3" sqref="B3"/>
    </sheetView>
  </sheetViews>
  <sheetFormatPr baseColWidth="10" defaultRowHeight="14.5" x14ac:dyDescent="0.35"/>
  <cols>
    <col min="1" max="1" width="11.1796875" bestFit="1" customWidth="1"/>
    <col min="2" max="2" width="11.08984375" customWidth="1"/>
    <col min="4" max="4" width="16.7265625" bestFit="1" customWidth="1"/>
    <col min="5" max="5" width="11.1796875" bestFit="1" customWidth="1"/>
    <col min="6" max="6" width="14.36328125" bestFit="1" customWidth="1"/>
    <col min="8" max="9" width="11.1796875" bestFit="1" customWidth="1"/>
    <col min="11" max="11" width="28.6328125" bestFit="1" customWidth="1"/>
    <col min="12" max="12" width="16.90625" customWidth="1"/>
  </cols>
  <sheetData>
    <row r="1" spans="1:12" x14ac:dyDescent="0.35">
      <c r="A1" s="19" t="s">
        <v>0</v>
      </c>
      <c r="B1" s="19"/>
      <c r="D1" s="19" t="s">
        <v>8</v>
      </c>
      <c r="E1" s="19"/>
    </row>
    <row r="2" spans="1:12" x14ac:dyDescent="0.35">
      <c r="A2" t="s">
        <v>1</v>
      </c>
      <c r="B2" s="1">
        <v>2880</v>
      </c>
      <c r="D2" t="s">
        <v>9</v>
      </c>
      <c r="E2" s="1">
        <v>25350</v>
      </c>
    </row>
    <row r="3" spans="1:12" x14ac:dyDescent="0.35">
      <c r="A3" t="s">
        <v>2</v>
      </c>
      <c r="B3" s="1">
        <v>13645.67</v>
      </c>
      <c r="D3" t="s">
        <v>10</v>
      </c>
      <c r="E3" s="1">
        <v>3750</v>
      </c>
      <c r="H3" s="3" t="s">
        <v>24</v>
      </c>
      <c r="I3" s="4">
        <f>B7-E9</f>
        <v>13406.739999999998</v>
      </c>
      <c r="K3" s="7" t="s">
        <v>36</v>
      </c>
      <c r="L3" s="7">
        <v>381</v>
      </c>
    </row>
    <row r="4" spans="1:12" x14ac:dyDescent="0.35">
      <c r="A4" t="s">
        <v>3</v>
      </c>
      <c r="B4" s="1">
        <v>10944</v>
      </c>
      <c r="D4" t="s">
        <v>11</v>
      </c>
      <c r="E4" s="1">
        <f>655+336.4+871.25+390</f>
        <v>2252.65</v>
      </c>
      <c r="F4" t="s">
        <v>30</v>
      </c>
      <c r="G4" t="s">
        <v>31</v>
      </c>
      <c r="H4" t="s">
        <v>28</v>
      </c>
      <c r="K4" s="9" t="s">
        <v>38</v>
      </c>
      <c r="L4" s="9">
        <v>71</v>
      </c>
    </row>
    <row r="5" spans="1:12" x14ac:dyDescent="0.35">
      <c r="A5" t="s">
        <v>4</v>
      </c>
      <c r="B5" s="1">
        <v>17031.47</v>
      </c>
      <c r="D5" t="s">
        <v>12</v>
      </c>
      <c r="E5" s="1">
        <f>(1652.8+4476.33)</f>
        <v>6129.13</v>
      </c>
    </row>
    <row r="6" spans="1:12" x14ac:dyDescent="0.35">
      <c r="A6" t="s">
        <v>22</v>
      </c>
      <c r="B6" s="1">
        <v>22482</v>
      </c>
      <c r="D6" t="s">
        <v>13</v>
      </c>
      <c r="E6" s="1">
        <v>2128.12</v>
      </c>
    </row>
    <row r="7" spans="1:12" x14ac:dyDescent="0.35">
      <c r="B7" s="6">
        <f>SUM(B2:B6)</f>
        <v>66983.14</v>
      </c>
      <c r="D7" t="s">
        <v>14</v>
      </c>
      <c r="E7" s="1">
        <f>27933/2</f>
        <v>13966.5</v>
      </c>
    </row>
    <row r="8" spans="1:12" x14ac:dyDescent="0.35">
      <c r="B8" s="1"/>
      <c r="D8" s="16" t="s">
        <v>15</v>
      </c>
      <c r="E8" s="17">
        <f>SUM(E4:E7)</f>
        <v>24476.400000000001</v>
      </c>
      <c r="G8" s="19"/>
      <c r="H8" s="19"/>
    </row>
    <row r="9" spans="1:12" x14ac:dyDescent="0.35">
      <c r="B9" s="1"/>
      <c r="D9" s="3" t="s">
        <v>16</v>
      </c>
      <c r="E9" s="2">
        <f>E2+E3+E4+E5+E6+E7</f>
        <v>53576.4</v>
      </c>
      <c r="G9" t="s">
        <v>17</v>
      </c>
      <c r="H9" s="2">
        <f>E8</f>
        <v>24476.400000000001</v>
      </c>
    </row>
    <row r="10" spans="1:12" x14ac:dyDescent="0.35">
      <c r="G10" t="s">
        <v>18</v>
      </c>
      <c r="H10" s="1">
        <v>4145.5200000000004</v>
      </c>
    </row>
    <row r="11" spans="1:12" x14ac:dyDescent="0.35">
      <c r="H11" s="4">
        <f>SUM(H9:H10)</f>
        <v>28621.920000000002</v>
      </c>
    </row>
    <row r="12" spans="1:12" x14ac:dyDescent="0.35">
      <c r="A12" t="s">
        <v>20</v>
      </c>
      <c r="B12" t="s">
        <v>25</v>
      </c>
      <c r="D12" t="s">
        <v>9</v>
      </c>
      <c r="G12" t="s">
        <v>19</v>
      </c>
      <c r="H12" s="1">
        <f>B2+B4</f>
        <v>13824</v>
      </c>
    </row>
    <row r="13" spans="1:12" x14ac:dyDescent="0.35">
      <c r="A13">
        <v>507</v>
      </c>
      <c r="B13">
        <v>220</v>
      </c>
      <c r="D13">
        <v>375</v>
      </c>
      <c r="H13" s="2">
        <f>H11-H12</f>
        <v>14797.920000000002</v>
      </c>
    </row>
    <row r="14" spans="1:12" x14ac:dyDescent="0.35">
      <c r="A14">
        <v>169</v>
      </c>
      <c r="B14">
        <v>1197</v>
      </c>
      <c r="D14">
        <v>750</v>
      </c>
    </row>
    <row r="15" spans="1:12" x14ac:dyDescent="0.35">
      <c r="A15">
        <v>338</v>
      </c>
      <c r="B15">
        <v>399</v>
      </c>
      <c r="D15">
        <v>200</v>
      </c>
    </row>
    <row r="16" spans="1:12" x14ac:dyDescent="0.35">
      <c r="A16">
        <v>507</v>
      </c>
      <c r="B16">
        <v>399</v>
      </c>
      <c r="D16">
        <v>600</v>
      </c>
    </row>
    <row r="17" spans="1:4" x14ac:dyDescent="0.35">
      <c r="A17">
        <v>2751.81</v>
      </c>
      <c r="B17">
        <v>399</v>
      </c>
      <c r="D17">
        <v>1000</v>
      </c>
    </row>
    <row r="18" spans="1:4" x14ac:dyDescent="0.35">
      <c r="A18">
        <v>2320.35</v>
      </c>
      <c r="B18">
        <v>550</v>
      </c>
      <c r="D18">
        <v>1250</v>
      </c>
    </row>
    <row r="19" spans="1:4" x14ac:dyDescent="0.35">
      <c r="A19">
        <v>169</v>
      </c>
      <c r="B19">
        <v>180</v>
      </c>
      <c r="D19">
        <v>300</v>
      </c>
    </row>
    <row r="20" spans="1:4" x14ac:dyDescent="0.35">
      <c r="A20">
        <v>338</v>
      </c>
      <c r="B20">
        <v>877</v>
      </c>
      <c r="D20">
        <v>750</v>
      </c>
    </row>
    <row r="21" spans="1:4" x14ac:dyDescent="0.35">
      <c r="A21">
        <v>1174.9000000000001</v>
      </c>
      <c r="B21">
        <v>180</v>
      </c>
      <c r="D21">
        <v>250</v>
      </c>
    </row>
    <row r="22" spans="1:4" x14ac:dyDescent="0.35">
      <c r="A22">
        <v>1567.8</v>
      </c>
      <c r="B22">
        <v>40</v>
      </c>
      <c r="D22">
        <v>650</v>
      </c>
    </row>
    <row r="23" spans="1:4" x14ac:dyDescent="0.35">
      <c r="A23">
        <v>169</v>
      </c>
      <c r="B23">
        <v>190</v>
      </c>
      <c r="D23">
        <v>700</v>
      </c>
    </row>
    <row r="24" spans="1:4" x14ac:dyDescent="0.35">
      <c r="A24">
        <v>1029.5999999999999</v>
      </c>
      <c r="B24">
        <v>338</v>
      </c>
      <c r="D24">
        <v>400</v>
      </c>
    </row>
    <row r="25" spans="1:4" x14ac:dyDescent="0.35">
      <c r="A25">
        <v>338</v>
      </c>
      <c r="B25">
        <v>169</v>
      </c>
      <c r="D25">
        <v>1250</v>
      </c>
    </row>
    <row r="26" spans="1:4" x14ac:dyDescent="0.35">
      <c r="A26">
        <v>378.86</v>
      </c>
      <c r="B26">
        <v>399</v>
      </c>
      <c r="D26">
        <v>1375</v>
      </c>
    </row>
    <row r="27" spans="1:4" x14ac:dyDescent="0.35">
      <c r="A27">
        <v>5104.1499999999996</v>
      </c>
      <c r="B27">
        <v>549</v>
      </c>
      <c r="D27">
        <v>250</v>
      </c>
    </row>
    <row r="28" spans="1:4" x14ac:dyDescent="0.35">
      <c r="A28">
        <v>169</v>
      </c>
      <c r="B28">
        <v>549</v>
      </c>
      <c r="D28">
        <v>750</v>
      </c>
    </row>
    <row r="29" spans="1:4" x14ac:dyDescent="0.35">
      <c r="A29" s="1">
        <f>SUM(A13:A28)</f>
        <v>17031.47</v>
      </c>
      <c r="B29">
        <v>399</v>
      </c>
      <c r="D29">
        <v>600</v>
      </c>
    </row>
    <row r="30" spans="1:4" x14ac:dyDescent="0.35">
      <c r="B30">
        <v>400</v>
      </c>
      <c r="D30">
        <v>750</v>
      </c>
    </row>
    <row r="31" spans="1:4" x14ac:dyDescent="0.35">
      <c r="B31">
        <v>399</v>
      </c>
      <c r="D31">
        <v>1125</v>
      </c>
    </row>
    <row r="32" spans="1:4" x14ac:dyDescent="0.35">
      <c r="B32">
        <v>399</v>
      </c>
      <c r="D32">
        <v>400</v>
      </c>
    </row>
    <row r="33" spans="2:4" x14ac:dyDescent="0.35">
      <c r="B33">
        <v>80</v>
      </c>
      <c r="D33">
        <v>600</v>
      </c>
    </row>
    <row r="34" spans="2:4" x14ac:dyDescent="0.35">
      <c r="B34">
        <v>80</v>
      </c>
      <c r="D34">
        <v>625</v>
      </c>
    </row>
    <row r="35" spans="2:4" x14ac:dyDescent="0.35">
      <c r="B35">
        <v>180</v>
      </c>
      <c r="D35">
        <v>750</v>
      </c>
    </row>
    <row r="36" spans="2:4" x14ac:dyDescent="0.35">
      <c r="B36">
        <v>90</v>
      </c>
      <c r="D36">
        <v>300</v>
      </c>
    </row>
    <row r="37" spans="2:4" x14ac:dyDescent="0.35">
      <c r="B37">
        <v>1040</v>
      </c>
      <c r="D37">
        <v>750</v>
      </c>
    </row>
    <row r="38" spans="2:4" x14ac:dyDescent="0.35">
      <c r="B38">
        <v>2080</v>
      </c>
      <c r="D38">
        <v>1000</v>
      </c>
    </row>
    <row r="39" spans="2:4" x14ac:dyDescent="0.35">
      <c r="B39">
        <v>780</v>
      </c>
      <c r="D39">
        <v>800</v>
      </c>
    </row>
    <row r="40" spans="2:4" x14ac:dyDescent="0.35">
      <c r="B40">
        <v>360</v>
      </c>
      <c r="D40">
        <v>1500</v>
      </c>
    </row>
    <row r="41" spans="2:4" x14ac:dyDescent="0.35">
      <c r="B41">
        <v>1040</v>
      </c>
      <c r="D41">
        <v>500</v>
      </c>
    </row>
    <row r="42" spans="2:4" x14ac:dyDescent="0.35">
      <c r="B42">
        <v>1040</v>
      </c>
      <c r="D42">
        <v>1375</v>
      </c>
    </row>
    <row r="43" spans="2:4" x14ac:dyDescent="0.35">
      <c r="B43">
        <v>2700</v>
      </c>
      <c r="D43">
        <v>750</v>
      </c>
    </row>
    <row r="44" spans="2:4" x14ac:dyDescent="0.35">
      <c r="B44">
        <v>2700</v>
      </c>
      <c r="D44">
        <v>600</v>
      </c>
    </row>
    <row r="45" spans="2:4" x14ac:dyDescent="0.35">
      <c r="B45">
        <v>2080</v>
      </c>
      <c r="D45">
        <v>875</v>
      </c>
    </row>
    <row r="46" spans="2:4" x14ac:dyDescent="0.35">
      <c r="B46" s="1">
        <f>SUM(B13:B45)</f>
        <v>22482</v>
      </c>
      <c r="D46">
        <v>600</v>
      </c>
    </row>
    <row r="47" spans="2:4" x14ac:dyDescent="0.35">
      <c r="D47">
        <v>600</v>
      </c>
    </row>
    <row r="48" spans="2:4" x14ac:dyDescent="0.35">
      <c r="D48" s="1">
        <f>SUM(D13:D47)</f>
        <v>25350</v>
      </c>
    </row>
  </sheetData>
  <mergeCells count="3">
    <mergeCell ref="A1:B1"/>
    <mergeCell ref="D1:E1"/>
    <mergeCell ref="G8:H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7AB23-A8B9-4CDF-B281-7CF56091F6B6}">
  <dimension ref="A1:N56"/>
  <sheetViews>
    <sheetView tabSelected="1" workbookViewId="0">
      <selection activeCell="I21" sqref="I21"/>
    </sheetView>
  </sheetViews>
  <sheetFormatPr baseColWidth="10" defaultRowHeight="14.5" x14ac:dyDescent="0.35"/>
  <cols>
    <col min="1" max="1" width="11.1796875" bestFit="1" customWidth="1"/>
    <col min="2" max="2" width="11.453125" bestFit="1" customWidth="1"/>
    <col min="4" max="4" width="16.7265625" bestFit="1" customWidth="1"/>
    <col min="5" max="5" width="11.1796875" bestFit="1" customWidth="1"/>
    <col min="8" max="9" width="11.1796875" bestFit="1" customWidth="1"/>
    <col min="11" max="11" width="11.81640625" bestFit="1" customWidth="1"/>
    <col min="13" max="13" width="28.08984375" bestFit="1" customWidth="1"/>
  </cols>
  <sheetData>
    <row r="1" spans="1:14" x14ac:dyDescent="0.35">
      <c r="A1" s="19" t="s">
        <v>0</v>
      </c>
      <c r="B1" s="19"/>
      <c r="D1" s="19" t="s">
        <v>8</v>
      </c>
      <c r="E1" s="19"/>
    </row>
    <row r="2" spans="1:14" x14ac:dyDescent="0.35">
      <c r="A2" t="s">
        <v>1</v>
      </c>
      <c r="B2" s="1">
        <v>3330</v>
      </c>
      <c r="D2" t="s">
        <v>9</v>
      </c>
      <c r="E2" s="1">
        <v>32536.400000000001</v>
      </c>
    </row>
    <row r="3" spans="1:14" x14ac:dyDescent="0.35">
      <c r="A3" t="s">
        <v>2</v>
      </c>
      <c r="B3" s="1">
        <v>15286.61</v>
      </c>
      <c r="D3" t="s">
        <v>10</v>
      </c>
      <c r="E3" s="1">
        <v>3750</v>
      </c>
      <c r="H3" s="3" t="s">
        <v>24</v>
      </c>
      <c r="I3" s="4">
        <f>B7-E9</f>
        <v>3717.304999999993</v>
      </c>
      <c r="M3" s="7" t="s">
        <v>36</v>
      </c>
      <c r="N3" s="7">
        <v>371</v>
      </c>
    </row>
    <row r="4" spans="1:14" x14ac:dyDescent="0.35">
      <c r="A4" t="s">
        <v>3</v>
      </c>
      <c r="B4" s="1">
        <v>12483</v>
      </c>
      <c r="D4" t="s">
        <v>11</v>
      </c>
      <c r="E4" s="1">
        <f>118+3250+1125+174+70+390</f>
        <v>5127</v>
      </c>
      <c r="F4" t="s">
        <v>32</v>
      </c>
      <c r="G4" t="s">
        <v>33</v>
      </c>
      <c r="H4" t="s">
        <v>34</v>
      </c>
      <c r="I4" t="s">
        <v>35</v>
      </c>
      <c r="J4">
        <v>70</v>
      </c>
      <c r="K4" t="s">
        <v>28</v>
      </c>
      <c r="M4" s="9" t="s">
        <v>38</v>
      </c>
      <c r="N4" s="9">
        <v>73</v>
      </c>
    </row>
    <row r="5" spans="1:14" x14ac:dyDescent="0.35">
      <c r="A5" t="s">
        <v>4</v>
      </c>
      <c r="B5" s="1">
        <v>19600.28</v>
      </c>
      <c r="D5" t="s">
        <v>12</v>
      </c>
      <c r="E5" s="1">
        <f>(1652.8+4476.33)/2</f>
        <v>3064.5650000000001</v>
      </c>
    </row>
    <row r="6" spans="1:14" x14ac:dyDescent="0.35">
      <c r="A6" t="s">
        <v>22</v>
      </c>
      <c r="B6" s="1">
        <v>13590</v>
      </c>
      <c r="D6" t="s">
        <v>13</v>
      </c>
      <c r="E6" s="1">
        <v>2128.12</v>
      </c>
    </row>
    <row r="7" spans="1:14" x14ac:dyDescent="0.35">
      <c r="B7" s="6">
        <f>SUM(B2:B6)</f>
        <v>64289.89</v>
      </c>
      <c r="D7" t="s">
        <v>14</v>
      </c>
      <c r="E7" s="1">
        <f>27933/2</f>
        <v>13966.5</v>
      </c>
    </row>
    <row r="8" spans="1:14" x14ac:dyDescent="0.35">
      <c r="B8" s="1"/>
      <c r="D8" s="3" t="s">
        <v>15</v>
      </c>
      <c r="E8" s="4">
        <f>SUM(E4:E7)</f>
        <v>24286.185000000001</v>
      </c>
      <c r="G8" s="19"/>
      <c r="H8" s="19"/>
    </row>
    <row r="9" spans="1:14" x14ac:dyDescent="0.35">
      <c r="B9" s="1"/>
      <c r="D9" s="3" t="s">
        <v>16</v>
      </c>
      <c r="E9" s="2">
        <f>E2+E3+E4+E5+E6+E7</f>
        <v>60572.585000000006</v>
      </c>
      <c r="G9" t="s">
        <v>17</v>
      </c>
      <c r="H9" s="2">
        <f>E8</f>
        <v>24286.185000000001</v>
      </c>
    </row>
    <row r="10" spans="1:14" x14ac:dyDescent="0.35">
      <c r="G10" t="s">
        <v>18</v>
      </c>
      <c r="H10" s="1">
        <v>4145.5200000000004</v>
      </c>
    </row>
    <row r="11" spans="1:14" x14ac:dyDescent="0.35">
      <c r="H11" s="4">
        <f>SUM(H9:H10)</f>
        <v>28431.705000000002</v>
      </c>
    </row>
    <row r="12" spans="1:14" x14ac:dyDescent="0.35">
      <c r="A12" t="s">
        <v>20</v>
      </c>
      <c r="B12" t="s">
        <v>25</v>
      </c>
      <c r="D12" t="s">
        <v>9</v>
      </c>
      <c r="G12" t="s">
        <v>19</v>
      </c>
      <c r="H12" s="1">
        <f>B2+B4</f>
        <v>15813</v>
      </c>
    </row>
    <row r="13" spans="1:14" x14ac:dyDescent="0.35">
      <c r="A13">
        <v>2090.4</v>
      </c>
      <c r="B13">
        <v>159</v>
      </c>
      <c r="D13">
        <v>250</v>
      </c>
      <c r="H13" s="2">
        <f>H11-H12</f>
        <v>12618.705000000002</v>
      </c>
    </row>
    <row r="14" spans="1:14" x14ac:dyDescent="0.35">
      <c r="A14">
        <v>629.92999999999995</v>
      </c>
      <c r="B14">
        <v>90</v>
      </c>
      <c r="D14">
        <v>1250</v>
      </c>
    </row>
    <row r="15" spans="1:14" x14ac:dyDescent="0.35">
      <c r="A15">
        <v>338</v>
      </c>
      <c r="B15">
        <v>180</v>
      </c>
      <c r="D15">
        <v>750</v>
      </c>
    </row>
    <row r="16" spans="1:14" x14ac:dyDescent="0.35">
      <c r="A16">
        <v>169</v>
      </c>
      <c r="B16">
        <v>180</v>
      </c>
      <c r="D16">
        <v>1125</v>
      </c>
      <c r="I16">
        <v>30000</v>
      </c>
      <c r="J16" t="s">
        <v>58</v>
      </c>
    </row>
    <row r="17" spans="1:10" x14ac:dyDescent="0.35">
      <c r="A17">
        <v>338</v>
      </c>
      <c r="B17">
        <v>159</v>
      </c>
      <c r="D17">
        <v>750</v>
      </c>
      <c r="I17" s="1">
        <v>25000</v>
      </c>
      <c r="J17" t="s">
        <v>54</v>
      </c>
    </row>
    <row r="18" spans="1:10" x14ac:dyDescent="0.35">
      <c r="A18">
        <v>845</v>
      </c>
      <c r="B18">
        <v>180</v>
      </c>
      <c r="D18">
        <v>750</v>
      </c>
      <c r="I18" s="1">
        <v>6500</v>
      </c>
      <c r="J18" t="s">
        <v>55</v>
      </c>
    </row>
    <row r="19" spans="1:10" x14ac:dyDescent="0.35">
      <c r="A19">
        <v>169</v>
      </c>
      <c r="B19">
        <v>998.5</v>
      </c>
      <c r="D19">
        <v>1000</v>
      </c>
      <c r="I19" s="1">
        <v>10000</v>
      </c>
      <c r="J19" t="s">
        <v>56</v>
      </c>
    </row>
    <row r="20" spans="1:10" x14ac:dyDescent="0.35">
      <c r="A20">
        <v>676</v>
      </c>
      <c r="B20">
        <v>2592</v>
      </c>
      <c r="D20">
        <v>400</v>
      </c>
      <c r="I20" s="1">
        <v>13000</v>
      </c>
      <c r="J20" t="s">
        <v>57</v>
      </c>
    </row>
    <row r="21" spans="1:10" x14ac:dyDescent="0.35">
      <c r="A21">
        <v>338</v>
      </c>
      <c r="B21">
        <v>180</v>
      </c>
      <c r="D21">
        <v>600</v>
      </c>
      <c r="I21" s="1">
        <f>SUM(I16:I20)</f>
        <v>84500</v>
      </c>
    </row>
    <row r="22" spans="1:10" x14ac:dyDescent="0.35">
      <c r="A22">
        <v>4069.83</v>
      </c>
      <c r="B22">
        <v>180</v>
      </c>
      <c r="D22">
        <v>1000</v>
      </c>
    </row>
    <row r="23" spans="1:10" x14ac:dyDescent="0.35">
      <c r="A23">
        <v>1121.3499999999999</v>
      </c>
      <c r="B23">
        <v>511</v>
      </c>
      <c r="D23">
        <v>250</v>
      </c>
    </row>
    <row r="24" spans="1:10" x14ac:dyDescent="0.35">
      <c r="A24">
        <v>676</v>
      </c>
      <c r="B24">
        <v>270</v>
      </c>
      <c r="D24">
        <v>600</v>
      </c>
    </row>
    <row r="25" spans="1:10" x14ac:dyDescent="0.35">
      <c r="A25">
        <v>169</v>
      </c>
      <c r="B25">
        <v>180</v>
      </c>
      <c r="D25">
        <v>660</v>
      </c>
    </row>
    <row r="26" spans="1:10" x14ac:dyDescent="0.35">
      <c r="A26">
        <v>898.91</v>
      </c>
      <c r="B26">
        <v>180</v>
      </c>
      <c r="D26">
        <v>1000</v>
      </c>
    </row>
    <row r="27" spans="1:10" x14ac:dyDescent="0.35">
      <c r="A27">
        <v>1483.45</v>
      </c>
      <c r="B27">
        <v>511</v>
      </c>
      <c r="D27">
        <v>1000</v>
      </c>
    </row>
    <row r="28" spans="1:10" x14ac:dyDescent="0.35">
      <c r="A28">
        <v>338</v>
      </c>
      <c r="B28">
        <v>400</v>
      </c>
      <c r="D28">
        <v>600</v>
      </c>
    </row>
    <row r="29" spans="1:10" x14ac:dyDescent="0.35">
      <c r="A29">
        <v>1314.45</v>
      </c>
      <c r="B29">
        <v>40</v>
      </c>
      <c r="D29">
        <v>600</v>
      </c>
    </row>
    <row r="30" spans="1:10" x14ac:dyDescent="0.35">
      <c r="A30">
        <v>1850.9</v>
      </c>
      <c r="B30">
        <v>40</v>
      </c>
      <c r="D30">
        <v>1000</v>
      </c>
    </row>
    <row r="31" spans="1:10" x14ac:dyDescent="0.35">
      <c r="A31">
        <v>1747.06</v>
      </c>
      <c r="B31">
        <v>1413.26</v>
      </c>
      <c r="D31">
        <v>1000</v>
      </c>
    </row>
    <row r="32" spans="1:10" x14ac:dyDescent="0.35">
      <c r="A32">
        <v>338</v>
      </c>
      <c r="B32">
        <v>1263.83</v>
      </c>
      <c r="D32">
        <v>750</v>
      </c>
    </row>
    <row r="33" spans="1:4" x14ac:dyDescent="0.35">
      <c r="A33" s="6">
        <f>SUM(A13:A32)</f>
        <v>19600.280000000002</v>
      </c>
      <c r="B33">
        <v>855</v>
      </c>
      <c r="D33">
        <v>600</v>
      </c>
    </row>
    <row r="34" spans="1:4" x14ac:dyDescent="0.35">
      <c r="B34">
        <v>1449.5</v>
      </c>
      <c r="D34">
        <v>1000</v>
      </c>
    </row>
    <row r="35" spans="1:4" x14ac:dyDescent="0.35">
      <c r="B35">
        <v>360</v>
      </c>
      <c r="D35">
        <v>250</v>
      </c>
    </row>
    <row r="36" spans="1:4" x14ac:dyDescent="0.35">
      <c r="B36">
        <v>180</v>
      </c>
      <c r="D36">
        <v>800</v>
      </c>
    </row>
    <row r="37" spans="1:4" x14ac:dyDescent="0.35">
      <c r="B37">
        <v>338</v>
      </c>
      <c r="D37">
        <v>600</v>
      </c>
    </row>
    <row r="38" spans="1:4" x14ac:dyDescent="0.35">
      <c r="B38">
        <v>180</v>
      </c>
      <c r="D38">
        <v>600</v>
      </c>
    </row>
    <row r="39" spans="1:4" x14ac:dyDescent="0.35">
      <c r="B39">
        <v>40</v>
      </c>
      <c r="D39">
        <v>600</v>
      </c>
    </row>
    <row r="40" spans="1:4" x14ac:dyDescent="0.35">
      <c r="B40">
        <v>40</v>
      </c>
      <c r="D40">
        <v>1000</v>
      </c>
    </row>
    <row r="41" spans="1:4" x14ac:dyDescent="0.35">
      <c r="B41">
        <v>40</v>
      </c>
      <c r="D41">
        <v>750</v>
      </c>
    </row>
    <row r="42" spans="1:4" x14ac:dyDescent="0.35">
      <c r="B42">
        <v>40</v>
      </c>
      <c r="D42">
        <v>500</v>
      </c>
    </row>
    <row r="43" spans="1:4" x14ac:dyDescent="0.35">
      <c r="B43">
        <v>180</v>
      </c>
      <c r="D43">
        <v>500</v>
      </c>
    </row>
    <row r="44" spans="1:4" x14ac:dyDescent="0.35">
      <c r="B44">
        <v>180</v>
      </c>
      <c r="D44">
        <v>500</v>
      </c>
    </row>
    <row r="45" spans="1:4" x14ac:dyDescent="0.35">
      <c r="B45" s="6">
        <f>SUM(B13:B44)</f>
        <v>13590.09</v>
      </c>
      <c r="D45">
        <v>1000</v>
      </c>
    </row>
    <row r="46" spans="1:4" x14ac:dyDescent="0.35">
      <c r="D46">
        <v>826.4</v>
      </c>
    </row>
    <row r="47" spans="1:4" x14ac:dyDescent="0.35">
      <c r="D47">
        <v>1800</v>
      </c>
    </row>
    <row r="48" spans="1:4" x14ac:dyDescent="0.35">
      <c r="D48">
        <v>200</v>
      </c>
    </row>
    <row r="49" spans="4:4" x14ac:dyDescent="0.35">
      <c r="D49">
        <v>400</v>
      </c>
    </row>
    <row r="50" spans="4:4" x14ac:dyDescent="0.35">
      <c r="D50">
        <v>1400</v>
      </c>
    </row>
    <row r="51" spans="4:4" x14ac:dyDescent="0.35">
      <c r="D51">
        <v>1000</v>
      </c>
    </row>
    <row r="52" spans="4:4" x14ac:dyDescent="0.35">
      <c r="D52">
        <v>875</v>
      </c>
    </row>
    <row r="53" spans="4:4" x14ac:dyDescent="0.35">
      <c r="D53">
        <v>500</v>
      </c>
    </row>
    <row r="54" spans="4:4" x14ac:dyDescent="0.35">
      <c r="D54">
        <v>1000</v>
      </c>
    </row>
    <row r="55" spans="4:4" x14ac:dyDescent="0.35">
      <c r="D55">
        <v>500</v>
      </c>
    </row>
    <row r="56" spans="4:4" x14ac:dyDescent="0.35">
      <c r="D56" s="6">
        <f>SUM(D13:D55)</f>
        <v>32536.400000000001</v>
      </c>
    </row>
  </sheetData>
  <mergeCells count="3">
    <mergeCell ref="A1:B1"/>
    <mergeCell ref="D1:E1"/>
    <mergeCell ref="G8:H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0F021-302E-4415-9DAA-1819C40C7336}">
  <dimension ref="A1:E16"/>
  <sheetViews>
    <sheetView workbookViewId="0">
      <selection activeCell="F12" sqref="F12"/>
    </sheetView>
  </sheetViews>
  <sheetFormatPr baseColWidth="10" defaultRowHeight="14.5" x14ac:dyDescent="0.35"/>
  <cols>
    <col min="1" max="1" width="29.54296875" bestFit="1" customWidth="1"/>
    <col min="4" max="4" width="13.90625" bestFit="1" customWidth="1"/>
  </cols>
  <sheetData>
    <row r="1" spans="1:5" x14ac:dyDescent="0.35">
      <c r="A1" t="s">
        <v>39</v>
      </c>
      <c r="B1" t="s">
        <v>40</v>
      </c>
      <c r="C1" t="s">
        <v>41</v>
      </c>
      <c r="D1" t="s">
        <v>45</v>
      </c>
    </row>
    <row r="2" spans="1:5" x14ac:dyDescent="0.35">
      <c r="A2" t="s">
        <v>43</v>
      </c>
      <c r="B2" s="1">
        <v>180</v>
      </c>
      <c r="C2">
        <v>2</v>
      </c>
      <c r="D2">
        <v>7</v>
      </c>
    </row>
    <row r="3" spans="1:5" ht="10.5" customHeight="1" x14ac:dyDescent="0.35">
      <c r="B3" s="1"/>
    </row>
    <row r="4" spans="1:5" x14ac:dyDescent="0.35">
      <c r="A4" t="s">
        <v>42</v>
      </c>
      <c r="B4" s="1">
        <v>180</v>
      </c>
      <c r="C4">
        <v>1</v>
      </c>
      <c r="D4">
        <v>7</v>
      </c>
    </row>
    <row r="5" spans="1:5" x14ac:dyDescent="0.35">
      <c r="A5" t="s">
        <v>44</v>
      </c>
      <c r="B5" s="1">
        <v>877</v>
      </c>
      <c r="C5">
        <v>5</v>
      </c>
      <c r="D5">
        <v>30</v>
      </c>
    </row>
    <row r="6" spans="1:5" x14ac:dyDescent="0.35">
      <c r="A6" t="s">
        <v>46</v>
      </c>
      <c r="B6" s="1">
        <v>1199</v>
      </c>
      <c r="C6">
        <v>8</v>
      </c>
      <c r="D6">
        <v>30</v>
      </c>
    </row>
    <row r="7" spans="1:5" x14ac:dyDescent="0.35">
      <c r="A7" t="s">
        <v>47</v>
      </c>
      <c r="B7" s="1">
        <v>1710</v>
      </c>
      <c r="C7">
        <v>10</v>
      </c>
      <c r="D7">
        <v>45</v>
      </c>
    </row>
    <row r="8" spans="1:5" x14ac:dyDescent="0.35">
      <c r="A8" t="s">
        <v>48</v>
      </c>
      <c r="B8" s="1">
        <v>2350</v>
      </c>
      <c r="C8">
        <v>16</v>
      </c>
      <c r="D8">
        <v>60</v>
      </c>
    </row>
    <row r="9" spans="1:5" x14ac:dyDescent="0.35">
      <c r="A9" t="s">
        <v>49</v>
      </c>
      <c r="B9" s="1">
        <v>3050</v>
      </c>
      <c r="C9">
        <v>20</v>
      </c>
      <c r="D9">
        <v>60</v>
      </c>
    </row>
    <row r="10" spans="1:5" x14ac:dyDescent="0.35">
      <c r="A10" t="s">
        <v>50</v>
      </c>
      <c r="B10" s="1">
        <v>3500</v>
      </c>
      <c r="C10">
        <v>24</v>
      </c>
      <c r="D10">
        <v>75</v>
      </c>
    </row>
    <row r="11" spans="1:5" x14ac:dyDescent="0.35">
      <c r="A11" t="s">
        <v>51</v>
      </c>
      <c r="B11" s="1">
        <v>2699</v>
      </c>
      <c r="C11" t="s">
        <v>52</v>
      </c>
      <c r="D11">
        <v>30</v>
      </c>
    </row>
    <row r="12" spans="1:5" x14ac:dyDescent="0.35">
      <c r="B12" s="1"/>
    </row>
    <row r="13" spans="1:5" x14ac:dyDescent="0.35">
      <c r="A13" s="11">
        <v>2870</v>
      </c>
      <c r="B13" s="1" t="s">
        <v>53</v>
      </c>
    </row>
    <row r="14" spans="1:5" x14ac:dyDescent="0.35">
      <c r="B14" s="1"/>
      <c r="E14" s="18">
        <v>2870</v>
      </c>
    </row>
    <row r="15" spans="1:5" x14ac:dyDescent="0.35">
      <c r="B15" s="1"/>
    </row>
    <row r="16" spans="1:5" x14ac:dyDescent="0.35">
      <c r="B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Febrero 2026</vt:lpstr>
      <vt:lpstr>Marzo 2026</vt:lpstr>
      <vt:lpstr>Abril 2026</vt:lpstr>
      <vt:lpstr>Mayo 2026</vt:lpstr>
      <vt:lpstr>Junio 2026</vt:lpstr>
      <vt:lpstr>Julio 2026</vt:lpstr>
      <vt:lpstr>Paquetes y precios actuales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Dafne Guzman</dc:creator>
  <cp:lastModifiedBy>Dafne Guzman</cp:lastModifiedBy>
  <dcterms:created xsi:type="dcterms:W3CDTF">2026-03-17T18:17:06Z</dcterms:created>
  <dcterms:modified xsi:type="dcterms:W3CDTF">2026-09-07T18:36:31Z</dcterms:modified>
</cp:coreProperties>
</file>